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A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164" fontId="3" fillId="4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164" fontId="3" fillId="5" borderId="1" pivotButton="0" quotePrefix="0" xfId="0"/>
    <xf numFmtId="0" fontId="4" fillId="0" borderId="0" applyAlignment="1" pivotButton="0" quotePrefix="0" xfId="0">
      <alignment horizontal="right" vertical="center"/>
    </xf>
    <xf numFmtId="164" fontId="5" fillId="0" borderId="0" pivotButton="0" quotePrefix="0" xfId="0"/>
    <xf numFmtId="0" fontId="6" fillId="2" borderId="0" applyAlignment="1" pivotButton="0" quotePrefix="0" xfId="0">
      <alignment horizontal="right" vertical="center"/>
    </xf>
    <xf numFmtId="164" fontId="6" fillId="2" borderId="0" pivotButton="0" quotePrefix="0" xfId="0"/>
    <xf numFmtId="0" fontId="7" fillId="0" borderId="0" applyAlignment="1" pivotButton="0" quotePrefix="0" xfId="0">
      <alignment horizontal="right" vertical="center"/>
    </xf>
    <xf numFmtId="164" fontId="3" fillId="0" borderId="0" pivotButton="0" quotePrefix="0" xfId="0"/>
    <xf numFmtId="0" fontId="6" fillId="6" borderId="0" applyAlignment="1" pivotButton="0" quotePrefix="0" xfId="0">
      <alignment horizontal="right" vertical="center"/>
    </xf>
    <xf numFmtId="164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8" customWidth="1" min="4" max="4"/>
  </cols>
  <sheetData>
    <row r="1" ht="26" customHeight="1">
      <c r="A1" s="1" t="inlineStr">
        <is>
          <t>OrçaObra AI — Orçamento Estimado de Obra</t>
        </is>
      </c>
    </row>
    <row r="3">
      <c r="A3" s="2" t="inlineStr">
        <is>
          <t>Item</t>
        </is>
      </c>
      <c r="B3" s="2" t="inlineStr">
        <is>
          <t>Quantidade</t>
        </is>
      </c>
      <c r="C3" s="2" t="inlineStr">
        <is>
          <t>Preço Unitário (R$)</t>
        </is>
      </c>
      <c r="D3" s="2" t="inlineStr">
        <is>
          <t>Total (R$)</t>
        </is>
      </c>
    </row>
    <row r="4">
      <c r="A4" s="3" t="inlineStr">
        <is>
          <t>MATERIAL</t>
        </is>
      </c>
    </row>
    <row r="5">
      <c r="A5" s="4" t="inlineStr">
        <is>
          <t>Bloco Cerâmico 14x19x29</t>
        </is>
      </c>
      <c r="B5" s="5" t="n">
        <v>4358</v>
      </c>
      <c r="C5" s="6" t="n">
        <v>1.16375</v>
      </c>
      <c r="D5" s="6">
        <f>B5*C5</f>
        <v/>
      </c>
    </row>
    <row r="6">
      <c r="A6" s="7" t="inlineStr">
        <is>
          <t>Piso (Econômico)</t>
        </is>
      </c>
      <c r="B6" s="8" t="n">
        <v>82</v>
      </c>
      <c r="C6" s="9" t="n">
        <v>41.895</v>
      </c>
      <c r="D6" s="9">
        <f>B6*C6</f>
        <v/>
      </c>
    </row>
    <row r="7">
      <c r="A7" s="4" t="inlineStr">
        <is>
          <t>Argamassa AC-II</t>
        </is>
      </c>
      <c r="B7" s="5" t="n">
        <v>413</v>
      </c>
      <c r="C7" s="6" t="n">
        <v>1.6758</v>
      </c>
      <c r="D7" s="6">
        <f>B7*C7</f>
        <v/>
      </c>
    </row>
    <row r="8">
      <c r="A8" s="7" t="inlineStr">
        <is>
          <t>Tinta Acrílica Premium</t>
        </is>
      </c>
      <c r="B8" s="8" t="n">
        <v>59</v>
      </c>
      <c r="C8" s="9" t="n">
        <v>20.482</v>
      </c>
      <c r="D8" s="9">
        <f>B8*C8</f>
        <v/>
      </c>
    </row>
    <row r="9">
      <c r="A9" s="4" t="inlineStr">
        <is>
          <t>Porta (Econômico)</t>
        </is>
      </c>
      <c r="B9" s="5" t="n">
        <v>7</v>
      </c>
      <c r="C9" s="6" t="n">
        <v>167.58</v>
      </c>
      <c r="D9" s="6">
        <f>B9*C9</f>
        <v/>
      </c>
    </row>
    <row r="10">
      <c r="A10" s="7" t="inlineStr">
        <is>
          <t>Janela (Econômico)</t>
        </is>
      </c>
      <c r="B10" s="8" t="n">
        <v>5</v>
      </c>
      <c r="C10" s="9" t="n">
        <v>139.65</v>
      </c>
      <c r="D10" s="9">
        <f>B10*C10</f>
        <v/>
      </c>
    </row>
    <row r="11">
      <c r="A11" s="4" t="inlineStr">
        <is>
          <t>Cobertura em Telhado (Econômico)</t>
        </is>
      </c>
      <c r="B11" s="5" t="n">
        <v>86.25</v>
      </c>
      <c r="C11" s="6" t="n">
        <v>69.825</v>
      </c>
      <c r="D11" s="6">
        <f>B11*C11</f>
        <v/>
      </c>
    </row>
    <row r="12">
      <c r="A12" s="7" t="inlineStr">
        <is>
          <t>Cimento (Fundação/Estrutura)</t>
        </is>
      </c>
      <c r="B12" s="8" t="n">
        <v>578</v>
      </c>
      <c r="C12" s="9" t="n">
        <v>29.792</v>
      </c>
      <c r="D12" s="9">
        <f>B12*C12</f>
        <v/>
      </c>
    </row>
    <row r="13">
      <c r="A13" s="4" t="inlineStr">
        <is>
          <t>Areia</t>
        </is>
      </c>
      <c r="B13" s="5" t="n">
        <v>41.25</v>
      </c>
      <c r="C13" s="6" t="n">
        <v>111.72</v>
      </c>
      <c r="D13" s="6">
        <f>B13*C13</f>
        <v/>
      </c>
    </row>
    <row r="14">
      <c r="A14" s="7" t="inlineStr">
        <is>
          <t>Brita</t>
        </is>
      </c>
      <c r="B14" s="8" t="n">
        <v>24.75</v>
      </c>
      <c r="C14" s="9" t="n">
        <v>130.34</v>
      </c>
      <c r="D14" s="9">
        <f>B14*C14</f>
        <v/>
      </c>
    </row>
    <row r="15">
      <c r="A15" s="4" t="inlineStr">
        <is>
          <t>Aço/Vergalhão</t>
        </is>
      </c>
      <c r="B15" s="5" t="n">
        <v>495</v>
      </c>
      <c r="C15" s="6" t="n">
        <v>7.55</v>
      </c>
      <c r="D15" s="6">
        <f>B15*C15</f>
        <v/>
      </c>
    </row>
    <row r="16">
      <c r="A16" s="7" t="inlineStr">
        <is>
          <t>Pontos Elétricos (Econômico)</t>
        </is>
      </c>
      <c r="B16" s="8" t="n">
        <v>15</v>
      </c>
      <c r="C16" s="9" t="n">
        <v>79.13500000000001</v>
      </c>
      <c r="D16" s="9">
        <f>B16*C16</f>
        <v/>
      </c>
    </row>
    <row r="17">
      <c r="A17" s="4" t="inlineStr">
        <is>
          <t>Pontos Hidráulicos (Econômico)</t>
        </is>
      </c>
      <c r="B17" s="5" t="n">
        <v>9</v>
      </c>
      <c r="C17" s="6" t="n">
        <v>102.41</v>
      </c>
      <c r="D17" s="6">
        <f>B17*C17</f>
        <v/>
      </c>
    </row>
    <row r="18">
      <c r="A18" s="10" t="inlineStr">
        <is>
          <t>Subtotal — Material</t>
        </is>
      </c>
      <c r="D18" s="11">
        <f>SUM(D5:D17)</f>
        <v/>
      </c>
    </row>
    <row r="20">
      <c r="A20" s="3" t="inlineStr">
        <is>
          <t>MÃO DE OBRA</t>
        </is>
      </c>
    </row>
    <row r="21">
      <c r="A21" s="4" t="inlineStr">
        <is>
          <t>Alvenaria (assentamento)</t>
        </is>
      </c>
      <c r="B21" s="5" t="n">
        <v>146.72</v>
      </c>
      <c r="C21" s="6" t="n">
        <v>26.07</v>
      </c>
      <c r="D21" s="6">
        <f>B21*C21</f>
        <v/>
      </c>
    </row>
    <row r="22">
      <c r="A22" s="7" t="inlineStr">
        <is>
          <t>Assentamento de Piso</t>
        </is>
      </c>
      <c r="B22" s="8" t="n">
        <v>75</v>
      </c>
      <c r="C22" s="9" t="n">
        <v>20.48</v>
      </c>
      <c r="D22" s="9">
        <f>B22*C22</f>
        <v/>
      </c>
    </row>
    <row r="23">
      <c r="A23" s="4" t="inlineStr">
        <is>
          <t>Pintura</t>
        </is>
      </c>
      <c r="B23" s="5" t="n">
        <v>146.72</v>
      </c>
      <c r="C23" s="6" t="n">
        <v>11.17</v>
      </c>
      <c r="D23" s="6">
        <f>B23*C23</f>
        <v/>
      </c>
    </row>
    <row r="24">
      <c r="A24" s="7" t="inlineStr">
        <is>
          <t>Instalação de Porta</t>
        </is>
      </c>
      <c r="B24" s="8" t="n">
        <v>7</v>
      </c>
      <c r="C24" s="9" t="n">
        <v>83.79000000000001</v>
      </c>
      <c r="D24" s="9">
        <f>B24*C24</f>
        <v/>
      </c>
    </row>
    <row r="25">
      <c r="A25" s="4" t="inlineStr">
        <is>
          <t>Instalação de Janela</t>
        </is>
      </c>
      <c r="B25" s="5" t="n">
        <v>5</v>
      </c>
      <c r="C25" s="6" t="n">
        <v>65.17</v>
      </c>
      <c r="D25" s="6">
        <f>B25*C25</f>
        <v/>
      </c>
    </row>
    <row r="26">
      <c r="A26" s="7" t="inlineStr">
        <is>
          <t>Execução de Cobertura</t>
        </is>
      </c>
      <c r="B26" s="8" t="n">
        <v>86.25</v>
      </c>
      <c r="C26" s="9" t="n">
        <v>41.9</v>
      </c>
      <c r="D26" s="9">
        <f>B26*C26</f>
        <v/>
      </c>
    </row>
    <row r="27">
      <c r="A27" s="4" t="inlineStr">
        <is>
          <t>Estrutura (fundação/armação)</t>
        </is>
      </c>
      <c r="B27" s="5" t="n">
        <v>75</v>
      </c>
      <c r="C27" s="6" t="n">
        <v>32.59</v>
      </c>
      <c r="D27" s="6">
        <f>B27*C27</f>
        <v/>
      </c>
    </row>
    <row r="28">
      <c r="A28" s="7" t="inlineStr">
        <is>
          <t>Instalação Elétrica</t>
        </is>
      </c>
      <c r="B28" s="8" t="n">
        <v>15</v>
      </c>
      <c r="C28" s="9" t="n">
        <v>55.86</v>
      </c>
      <c r="D28" s="9">
        <f>B28*C28</f>
        <v/>
      </c>
    </row>
    <row r="29">
      <c r="A29" s="4" t="inlineStr">
        <is>
          <t>Instalação Hidráulica</t>
        </is>
      </c>
      <c r="B29" s="5" t="n">
        <v>9</v>
      </c>
      <c r="C29" s="6" t="n">
        <v>51.21</v>
      </c>
      <c r="D29" s="6">
        <f>B29*C29</f>
        <v/>
      </c>
    </row>
    <row r="30">
      <c r="A30" s="10" t="inlineStr">
        <is>
          <t>Subtotal — Mão de Obra</t>
        </is>
      </c>
      <c r="D30" s="11">
        <f>SUM(D21:D29)</f>
        <v/>
      </c>
    </row>
    <row r="32" ht="22" customHeight="1">
      <c r="A32" s="12" t="inlineStr">
        <is>
          <t>CUSTO DIRETO</t>
        </is>
      </c>
      <c r="D32" s="13">
        <f>D18+D30</f>
        <v/>
      </c>
    </row>
    <row r="33">
      <c r="A33" s="14" t="inlineStr">
        <is>
          <t>BDI (25%) — administração, lucro, impostos e imprevistos</t>
        </is>
      </c>
      <c r="D33" s="15">
        <f>D32*25.0/100</f>
        <v/>
      </c>
    </row>
    <row r="34" ht="22" customHeight="1">
      <c r="A34" s="16" t="inlineStr">
        <is>
          <t>PREÇO DE VENDA</t>
        </is>
      </c>
      <c r="D34" s="17">
        <f>D32+D33</f>
        <v/>
      </c>
    </row>
  </sheetData>
  <mergeCells count="8">
    <mergeCell ref="A1:D1"/>
    <mergeCell ref="A33:C33"/>
    <mergeCell ref="A32:C32"/>
    <mergeCell ref="A4:D4"/>
    <mergeCell ref="A20:D20"/>
    <mergeCell ref="A18:C18"/>
    <mergeCell ref="A30:C30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2026-07-19T21:15:11Z</dcterms:created>
  <dcterms:modified xsi:type="dcterms:W3CDTF">2026-07-19T21:15:11Z</dcterms:modified>
</cp:coreProperties>
</file>